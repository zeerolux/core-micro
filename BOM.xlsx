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OneDrive\Documents\git\zeerolux\core-micro\"/>
    </mc:Choice>
  </mc:AlternateContent>
  <xr:revisionPtr revIDLastSave="0" documentId="8_{D86E290B-036C-4104-9FE1-83F64125B26B}" xr6:coauthVersionLast="47" xr6:coauthVersionMax="47" xr10:uidLastSave="{00000000-0000-0000-0000-000000000000}"/>
  <bookViews>
    <workbookView xWindow="-98" yWindow="-98" windowWidth="21795" windowHeight="12975" xr2:uid="{FAFBF61F-08F3-4488-8868-A4CB8C6DA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</calcChain>
</file>

<file path=xl/sharedStrings.xml><?xml version="1.0" encoding="utf-8"?>
<sst xmlns="http://schemas.openxmlformats.org/spreadsheetml/2006/main" count="51" uniqueCount="40">
  <si>
    <t>Item</t>
  </si>
  <si>
    <t>Link</t>
  </si>
  <si>
    <t>JLCPCB</t>
  </si>
  <si>
    <t>Surface PCB</t>
  </si>
  <si>
    <t>Surface PCB Assembly</t>
  </si>
  <si>
    <t>Logic PCB</t>
  </si>
  <si>
    <t>Logic PCB Assembly</t>
  </si>
  <si>
    <t>DMX PCB</t>
  </si>
  <si>
    <t>DMX PCB Assembly</t>
  </si>
  <si>
    <t>Power PCB</t>
  </si>
  <si>
    <t>Power PCB Assembly</t>
  </si>
  <si>
    <t>Encoders</t>
  </si>
  <si>
    <t>Faders</t>
  </si>
  <si>
    <t>USB B socket</t>
  </si>
  <si>
    <t>Key Switches</t>
  </si>
  <si>
    <t>Quantity</t>
  </si>
  <si>
    <t>Shipping (over all products)</t>
  </si>
  <si>
    <t>Threaded inserts m3</t>
  </si>
  <si>
    <t>Threaded inserts m2</t>
  </si>
  <si>
    <t>Screws m3</t>
  </si>
  <si>
    <t>Screws m2</t>
  </si>
  <si>
    <t>https://www.aliexpress.com/item/1005008897571758.html</t>
  </si>
  <si>
    <t>https://shop.beekeeb.com/products/sunset-choc-key-switch</t>
  </si>
  <si>
    <t>location</t>
  </si>
  <si>
    <t>shipping cost</t>
  </si>
  <si>
    <t>aliexpress</t>
  </si>
  <si>
    <t>beekeeb</t>
  </si>
  <si>
    <t>https://www.aliexpress.com/item/1005007593838226.html</t>
  </si>
  <si>
    <t>n/a</t>
  </si>
  <si>
    <t>Total Cost</t>
  </si>
  <si>
    <t>Neutrix 3 pin XLR</t>
  </si>
  <si>
    <t>Neutrix 5 pin XLR</t>
  </si>
  <si>
    <t>mouser</t>
  </si>
  <si>
    <t>https://au.mouser.com/ProductDetail/Neutrik/NC3FAH-0?qs=JfNPhaIww3KVRIFFDchtUA%3D%3D</t>
  </si>
  <si>
    <t>https://au.mouser.com/ProductDetail/Neutrik/NC5FAH-0?qs=6LylQoPC2St0w7oAc5hVvw%3D%3D</t>
  </si>
  <si>
    <t>https://au.mouser.com/ProductDetail/Bourns/PEC12R-4220F-S0024?qs=Zq5ylnUbLm7u%2FuPQvUoR4Q%3D%3D</t>
  </si>
  <si>
    <t>https://au.mouser.com/ProductDetail/Bourns/PTA6043-2015DPB103?qs=U%2FacTlguYxYM6XeKwIsltg%3D%3D</t>
  </si>
  <si>
    <t>https://au.mouser.com/ProductDetail/Harwin/M701-330442?qs=x6EjVpvqMVOIQFAB0splYQ%3D%3D</t>
  </si>
  <si>
    <t>Actual</t>
  </si>
  <si>
    <t>List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</si>
</sst>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beekeeb.com/products/sunset-choc-key-switch" TargetMode="External"/><Relationship Id="rId2" Type="http://schemas.openxmlformats.org/officeDocument/2006/relationships/hyperlink" Target="https://www.aliexpress.com/item/1005008897571758.html" TargetMode="External"/><Relationship Id="rId1" Type="http://schemas.openxmlformats.org/officeDocument/2006/relationships/hyperlink" Target="https://www.aliexpress.com/item/100500889757175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6A41-2F4A-413D-8552-34EB2F31A579}">
  <dimension ref="A1:G21"/>
  <sheetViews>
    <sheetView tabSelected="1" workbookViewId="0">
      <selection activeCell="C23" sqref="C23"/>
    </sheetView>
  </sheetViews>
  <sheetFormatPr defaultRowHeight="14.25" x14ac:dyDescent="0.45"/>
  <cols>
    <col min="1" max="1" width="32.53125" customWidth="1"/>
    <col min="2" max="2" width="7.9296875" customWidth="1"/>
    <col min="3" max="3" width="81.46484375" customWidth="1"/>
    <col min="4" max="4" width="22.9296875" customWidth="1"/>
    <col min="7" max="7" width="19.59765625" customWidth="1"/>
  </cols>
  <sheetData>
    <row r="1" spans="1:7" x14ac:dyDescent="0.45">
      <c r="A1" t="s">
        <v>0</v>
      </c>
      <c r="B1" t="s">
        <v>15</v>
      </c>
      <c r="C1" t="s">
        <v>1</v>
      </c>
      <c r="D1" t="s">
        <v>39</v>
      </c>
      <c r="E1" t="s">
        <v>38</v>
      </c>
      <c r="F1" t="s">
        <v>23</v>
      </c>
      <c r="G1" t="s">
        <v>24</v>
      </c>
    </row>
    <row r="2" spans="1:7" x14ac:dyDescent="0.45">
      <c r="A2" t="s">
        <v>3</v>
      </c>
      <c r="B2">
        <v>5</v>
      </c>
      <c r="C2" t="s">
        <v>2</v>
      </c>
      <c r="D2">
        <v>17.899999999999999</v>
      </c>
      <c r="E2">
        <v>190.94</v>
      </c>
      <c r="F2" t="s">
        <v>2</v>
      </c>
      <c r="G2">
        <v>33.14</v>
      </c>
    </row>
    <row r="3" spans="1:7" x14ac:dyDescent="0.45">
      <c r="A3" t="s">
        <v>4</v>
      </c>
      <c r="B3">
        <v>2</v>
      </c>
      <c r="C3" t="s">
        <v>2</v>
      </c>
      <c r="D3">
        <v>39.89</v>
      </c>
      <c r="F3" t="s">
        <v>25</v>
      </c>
    </row>
    <row r="4" spans="1:7" x14ac:dyDescent="0.45">
      <c r="A4" t="s">
        <v>5</v>
      </c>
      <c r="B4">
        <v>5</v>
      </c>
      <c r="C4" t="s">
        <v>2</v>
      </c>
      <c r="D4">
        <v>4</v>
      </c>
      <c r="F4" t="s">
        <v>32</v>
      </c>
      <c r="G4">
        <v>20</v>
      </c>
    </row>
    <row r="5" spans="1:7" x14ac:dyDescent="0.45">
      <c r="A5" t="s">
        <v>6</v>
      </c>
      <c r="B5">
        <v>2</v>
      </c>
      <c r="C5" t="s">
        <v>2</v>
      </c>
      <c r="D5">
        <v>48.14</v>
      </c>
      <c r="F5" t="s">
        <v>26</v>
      </c>
      <c r="G5">
        <v>15.64</v>
      </c>
    </row>
    <row r="6" spans="1:7" x14ac:dyDescent="0.45">
      <c r="A6" t="s">
        <v>7</v>
      </c>
      <c r="B6">
        <v>5</v>
      </c>
      <c r="C6" t="s">
        <v>2</v>
      </c>
      <c r="D6">
        <v>4</v>
      </c>
    </row>
    <row r="7" spans="1:7" x14ac:dyDescent="0.45">
      <c r="A7" t="s">
        <v>8</v>
      </c>
      <c r="B7">
        <v>2</v>
      </c>
      <c r="C7" t="s">
        <v>2</v>
      </c>
      <c r="D7">
        <v>18.579999999999998</v>
      </c>
    </row>
    <row r="8" spans="1:7" x14ac:dyDescent="0.45">
      <c r="A8" t="s">
        <v>9</v>
      </c>
      <c r="B8">
        <v>5</v>
      </c>
      <c r="C8" t="s">
        <v>2</v>
      </c>
      <c r="D8">
        <v>2</v>
      </c>
    </row>
    <row r="9" spans="1:7" x14ac:dyDescent="0.45">
      <c r="A9" t="s">
        <v>10</v>
      </c>
      <c r="B9">
        <v>2</v>
      </c>
      <c r="C9" t="s">
        <v>2</v>
      </c>
      <c r="D9">
        <v>43.29</v>
      </c>
    </row>
    <row r="10" spans="1:7" x14ac:dyDescent="0.45">
      <c r="A10" t="s">
        <v>11</v>
      </c>
      <c r="B10">
        <v>3</v>
      </c>
      <c r="C10" t="s">
        <v>35</v>
      </c>
      <c r="D10">
        <v>5.07</v>
      </c>
      <c r="E10">
        <v>5.07</v>
      </c>
    </row>
    <row r="11" spans="1:7" x14ac:dyDescent="0.45">
      <c r="A11" t="s">
        <v>12</v>
      </c>
      <c r="B11">
        <v>5</v>
      </c>
      <c r="C11" t="s">
        <v>36</v>
      </c>
      <c r="D11">
        <v>9.6</v>
      </c>
      <c r="E11">
        <v>9.6</v>
      </c>
    </row>
    <row r="12" spans="1:7" x14ac:dyDescent="0.45">
      <c r="A12" t="s">
        <v>13</v>
      </c>
      <c r="B12">
        <v>1</v>
      </c>
      <c r="C12" t="s">
        <v>37</v>
      </c>
      <c r="D12">
        <v>0.95</v>
      </c>
      <c r="E12">
        <v>0.95</v>
      </c>
    </row>
    <row r="13" spans="1:7" x14ac:dyDescent="0.45">
      <c r="A13" t="s">
        <v>17</v>
      </c>
      <c r="B13">
        <v>100</v>
      </c>
      <c r="C13" s="1" t="s">
        <v>21</v>
      </c>
      <c r="D13">
        <v>5</v>
      </c>
      <c r="E13">
        <v>5</v>
      </c>
    </row>
    <row r="14" spans="1:7" x14ac:dyDescent="0.45">
      <c r="A14" t="s">
        <v>18</v>
      </c>
      <c r="B14">
        <v>100</v>
      </c>
      <c r="C14" s="1" t="s">
        <v>21</v>
      </c>
      <c r="D14">
        <v>5</v>
      </c>
      <c r="E14">
        <v>5</v>
      </c>
    </row>
    <row r="15" spans="1:7" x14ac:dyDescent="0.45">
      <c r="A15" t="s">
        <v>19</v>
      </c>
      <c r="B15">
        <v>50</v>
      </c>
      <c r="C15" t="s">
        <v>27</v>
      </c>
      <c r="D15">
        <v>3</v>
      </c>
      <c r="E15">
        <v>3</v>
      </c>
    </row>
    <row r="16" spans="1:7" x14ac:dyDescent="0.45">
      <c r="A16" t="s">
        <v>20</v>
      </c>
      <c r="B16">
        <v>50</v>
      </c>
      <c r="C16" t="s">
        <v>27</v>
      </c>
      <c r="D16">
        <v>3</v>
      </c>
      <c r="E16">
        <v>3</v>
      </c>
    </row>
    <row r="17" spans="1:5" x14ac:dyDescent="0.45">
      <c r="A17" t="s">
        <v>14</v>
      </c>
      <c r="B17">
        <v>50</v>
      </c>
      <c r="C17" s="1" t="s">
        <v>22</v>
      </c>
      <c r="D17">
        <v>49</v>
      </c>
      <c r="E17">
        <v>49</v>
      </c>
    </row>
    <row r="18" spans="1:5" x14ac:dyDescent="0.45">
      <c r="A18" t="s">
        <v>30</v>
      </c>
      <c r="B18">
        <v>2</v>
      </c>
      <c r="C18" t="s">
        <v>33</v>
      </c>
      <c r="D18">
        <v>5.64</v>
      </c>
      <c r="E18">
        <v>5.64</v>
      </c>
    </row>
    <row r="19" spans="1:5" x14ac:dyDescent="0.45">
      <c r="A19" t="s">
        <v>31</v>
      </c>
      <c r="B19">
        <v>2</v>
      </c>
      <c r="C19" t="s">
        <v>34</v>
      </c>
      <c r="D19">
        <v>7.74</v>
      </c>
      <c r="E19">
        <v>7.74</v>
      </c>
    </row>
    <row r="20" spans="1:5" x14ac:dyDescent="0.45">
      <c r="A20" t="s">
        <v>16</v>
      </c>
      <c r="B20" t="s">
        <v>28</v>
      </c>
      <c r="C20" t="s">
        <v>28</v>
      </c>
      <c r="D20">
        <f>SUM(G:G)</f>
        <v>68.78</v>
      </c>
    </row>
    <row r="21" spans="1:5" x14ac:dyDescent="0.45">
      <c r="A21" t="s">
        <v>29</v>
      </c>
      <c r="D21">
        <f>SUM(E2:E20)</f>
        <v>284.93999999999994</v>
      </c>
    </row>
  </sheetData>
  <hyperlinks>
    <hyperlink ref="C13" r:id="rId1" xr:uid="{4BFE348F-5C53-42D9-9728-16103E316C76}"/>
    <hyperlink ref="C14" r:id="rId2" xr:uid="{4DF2DAEC-EF98-4330-8C90-9B2719341F6F}"/>
    <hyperlink ref="C17" r:id="rId3" xr:uid="{23D0BA65-63FD-46A7-AC87-78D79BDCB4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Tyler</dc:creator>
  <cp:lastModifiedBy>Austin Tyler</cp:lastModifiedBy>
  <dcterms:created xsi:type="dcterms:W3CDTF">2026-02-27T11:11:00Z</dcterms:created>
  <dcterms:modified xsi:type="dcterms:W3CDTF">2026-02-27T13:37:35Z</dcterms:modified>
</cp:coreProperties>
</file>